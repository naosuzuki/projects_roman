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zuki/Documents/talks/2025/"/>
    </mc:Choice>
  </mc:AlternateContent>
  <xr:revisionPtr revIDLastSave="0" documentId="8_{60DC0672-358E-444F-B5A9-B57D7EF13269}" xr6:coauthVersionLast="47" xr6:coauthVersionMax="47" xr10:uidLastSave="{00000000-0000-0000-0000-000000000000}"/>
  <bookViews>
    <workbookView xWindow="1880" yWindow="780" windowWidth="34200" windowHeight="20280" xr2:uid="{BAA5FFFF-7186-344D-87C8-C2AD9EF0B4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  <c r="D33" i="1"/>
  <c r="C33" i="1"/>
  <c r="B3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" i="1"/>
  <c r="D2" i="1"/>
</calcChain>
</file>

<file path=xl/sharedStrings.xml><?xml version="1.0" encoding="utf-8"?>
<sst xmlns="http://schemas.openxmlformats.org/spreadsheetml/2006/main" count="8" uniqueCount="8">
  <si>
    <t>z</t>
  </si>
  <si>
    <t>SNIa Wide</t>
  </si>
  <si>
    <t>SNIa Deep</t>
  </si>
  <si>
    <t>SNIa Total</t>
  </si>
  <si>
    <t>Total</t>
  </si>
  <si>
    <t>mu</t>
  </si>
  <si>
    <t>mag</t>
  </si>
  <si>
    <t>i-mag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</si>
</sst>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5D4F-AB61-F947-8FF1-A01B5A3A3980}">
  <dimension ref="A1:G33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 x14ac:dyDescent="0.2">
      <c r="A2">
        <v>0.1</v>
      </c>
      <c r="B2">
        <v>0</v>
      </c>
      <c r="C2">
        <v>5</v>
      </c>
      <c r="D2">
        <f>B2+C2</f>
        <v>5</v>
      </c>
      <c r="E2">
        <v>38.32</v>
      </c>
      <c r="F2">
        <f>E2-19.4</f>
        <v>18.920000000000002</v>
      </c>
      <c r="G2">
        <v>18.84</v>
      </c>
    </row>
    <row r="3" spans="1:7" x14ac:dyDescent="0.2">
      <c r="A3">
        <v>0.2</v>
      </c>
      <c r="B3">
        <v>20</v>
      </c>
      <c r="C3">
        <v>10</v>
      </c>
      <c r="D3">
        <f>B3+C3</f>
        <v>30</v>
      </c>
      <c r="E3">
        <v>39.96</v>
      </c>
      <c r="F3">
        <f>E3-19.4</f>
        <v>20.560000000000002</v>
      </c>
      <c r="G3">
        <v>20.52</v>
      </c>
    </row>
    <row r="4" spans="1:7" x14ac:dyDescent="0.2">
      <c r="A4">
        <v>0.3</v>
      </c>
      <c r="B4">
        <v>50</v>
      </c>
      <c r="C4">
        <v>8</v>
      </c>
      <c r="D4">
        <f t="shared" ref="D4:D31" si="0">B4+C4</f>
        <v>58</v>
      </c>
      <c r="E4">
        <v>40.96</v>
      </c>
      <c r="F4">
        <f t="shared" ref="F4:F31" si="1">E4-19.4</f>
        <v>21.560000000000002</v>
      </c>
      <c r="G4">
        <v>21.55</v>
      </c>
    </row>
    <row r="5" spans="1:7" x14ac:dyDescent="0.2">
      <c r="A5">
        <v>0.4</v>
      </c>
      <c r="B5">
        <v>50</v>
      </c>
      <c r="C5">
        <v>10</v>
      </c>
      <c r="D5">
        <f t="shared" si="0"/>
        <v>60</v>
      </c>
      <c r="E5">
        <v>41.68</v>
      </c>
      <c r="F5">
        <f t="shared" si="1"/>
        <v>22.28</v>
      </c>
      <c r="G5">
        <v>22.31</v>
      </c>
    </row>
    <row r="6" spans="1:7" x14ac:dyDescent="0.2">
      <c r="A6">
        <v>0.5</v>
      </c>
      <c r="B6">
        <v>80</v>
      </c>
      <c r="C6">
        <v>30</v>
      </c>
      <c r="D6">
        <f t="shared" si="0"/>
        <v>110</v>
      </c>
      <c r="E6">
        <v>42.26</v>
      </c>
      <c r="F6">
        <f t="shared" si="1"/>
        <v>22.86</v>
      </c>
      <c r="G6">
        <v>22.91</v>
      </c>
    </row>
    <row r="7" spans="1:7" x14ac:dyDescent="0.2">
      <c r="A7">
        <v>0.6</v>
      </c>
      <c r="B7">
        <v>175</v>
      </c>
      <c r="C7">
        <v>40</v>
      </c>
      <c r="D7">
        <f t="shared" si="0"/>
        <v>215</v>
      </c>
      <c r="E7">
        <v>42.74</v>
      </c>
      <c r="F7">
        <f t="shared" si="1"/>
        <v>23.340000000000003</v>
      </c>
      <c r="G7">
        <v>23.42</v>
      </c>
    </row>
    <row r="8" spans="1:7" x14ac:dyDescent="0.2">
      <c r="A8">
        <v>0.7</v>
      </c>
      <c r="B8">
        <v>280</v>
      </c>
      <c r="C8">
        <v>50</v>
      </c>
      <c r="D8">
        <f t="shared" si="0"/>
        <v>330</v>
      </c>
      <c r="E8">
        <v>43.15</v>
      </c>
      <c r="F8">
        <f t="shared" si="1"/>
        <v>23.75</v>
      </c>
      <c r="G8">
        <v>23.86</v>
      </c>
    </row>
    <row r="9" spans="1:7" x14ac:dyDescent="0.2">
      <c r="A9">
        <v>0.8</v>
      </c>
      <c r="B9">
        <v>310</v>
      </c>
      <c r="C9">
        <v>60</v>
      </c>
      <c r="D9">
        <f t="shared" si="0"/>
        <v>370</v>
      </c>
      <c r="E9">
        <v>43.5</v>
      </c>
      <c r="F9">
        <f t="shared" si="1"/>
        <v>24.1</v>
      </c>
      <c r="G9">
        <v>24.24</v>
      </c>
    </row>
    <row r="10" spans="1:7" x14ac:dyDescent="0.2">
      <c r="A10">
        <v>0.9</v>
      </c>
      <c r="B10">
        <v>360</v>
      </c>
      <c r="C10">
        <v>80</v>
      </c>
      <c r="D10">
        <f t="shared" si="0"/>
        <v>440</v>
      </c>
      <c r="E10">
        <v>43.82</v>
      </c>
      <c r="F10">
        <f t="shared" si="1"/>
        <v>24.42</v>
      </c>
      <c r="G10">
        <v>24.59</v>
      </c>
    </row>
    <row r="11" spans="1:7" x14ac:dyDescent="0.2">
      <c r="A11">
        <v>1</v>
      </c>
      <c r="B11">
        <v>390</v>
      </c>
      <c r="C11">
        <v>90</v>
      </c>
      <c r="D11">
        <f t="shared" si="0"/>
        <v>480</v>
      </c>
      <c r="E11">
        <v>44.1</v>
      </c>
      <c r="F11">
        <f t="shared" si="1"/>
        <v>24.700000000000003</v>
      </c>
      <c r="G11">
        <v>24.9</v>
      </c>
    </row>
    <row r="12" spans="1:7" x14ac:dyDescent="0.2">
      <c r="A12">
        <v>1.1000000000000001</v>
      </c>
      <c r="B12">
        <v>410</v>
      </c>
      <c r="C12">
        <v>110</v>
      </c>
      <c r="D12">
        <f t="shared" si="0"/>
        <v>520</v>
      </c>
      <c r="E12">
        <v>44.36</v>
      </c>
      <c r="F12">
        <f t="shared" si="1"/>
        <v>24.96</v>
      </c>
      <c r="G12">
        <v>25.21</v>
      </c>
    </row>
    <row r="13" spans="1:7" x14ac:dyDescent="0.2">
      <c r="A13">
        <v>1.2</v>
      </c>
      <c r="B13">
        <v>350</v>
      </c>
      <c r="C13">
        <v>85</v>
      </c>
      <c r="D13">
        <f t="shared" si="0"/>
        <v>435</v>
      </c>
      <c r="E13">
        <v>44.59</v>
      </c>
      <c r="F13">
        <f t="shared" si="1"/>
        <v>25.190000000000005</v>
      </c>
      <c r="G13">
        <v>25.49</v>
      </c>
    </row>
    <row r="14" spans="1:7" x14ac:dyDescent="0.2">
      <c r="A14">
        <v>1.3</v>
      </c>
      <c r="B14">
        <v>340</v>
      </c>
      <c r="C14">
        <v>100</v>
      </c>
      <c r="D14">
        <f t="shared" si="0"/>
        <v>440</v>
      </c>
      <c r="E14">
        <v>44.81</v>
      </c>
      <c r="F14">
        <f t="shared" si="1"/>
        <v>25.410000000000004</v>
      </c>
      <c r="G14">
        <v>25.76</v>
      </c>
    </row>
    <row r="15" spans="1:7" x14ac:dyDescent="0.2">
      <c r="A15">
        <v>1.4</v>
      </c>
      <c r="B15">
        <v>330</v>
      </c>
      <c r="C15">
        <v>90</v>
      </c>
      <c r="D15">
        <f t="shared" si="0"/>
        <v>420</v>
      </c>
      <c r="E15">
        <v>45</v>
      </c>
      <c r="F15">
        <f t="shared" si="1"/>
        <v>25.6</v>
      </c>
      <c r="G15">
        <v>26.01</v>
      </c>
    </row>
    <row r="16" spans="1:7" x14ac:dyDescent="0.2">
      <c r="A16">
        <v>1.5</v>
      </c>
      <c r="B16">
        <v>250</v>
      </c>
      <c r="C16">
        <v>110</v>
      </c>
      <c r="D16">
        <f t="shared" si="0"/>
        <v>360</v>
      </c>
      <c r="E16">
        <v>45.19</v>
      </c>
      <c r="F16">
        <f t="shared" si="1"/>
        <v>25.79</v>
      </c>
      <c r="G16">
        <v>26.24</v>
      </c>
    </row>
    <row r="17" spans="1:7" x14ac:dyDescent="0.2">
      <c r="A17">
        <v>1.6</v>
      </c>
      <c r="B17">
        <v>190</v>
      </c>
      <c r="C17">
        <v>80</v>
      </c>
      <c r="D17">
        <f t="shared" si="0"/>
        <v>270</v>
      </c>
      <c r="E17">
        <v>45.36</v>
      </c>
      <c r="F17">
        <f t="shared" si="1"/>
        <v>25.96</v>
      </c>
      <c r="G17">
        <v>26.46</v>
      </c>
    </row>
    <row r="18" spans="1:7" x14ac:dyDescent="0.2">
      <c r="A18">
        <v>1.7</v>
      </c>
      <c r="B18">
        <v>120</v>
      </c>
      <c r="C18">
        <v>90</v>
      </c>
      <c r="D18">
        <f t="shared" si="0"/>
        <v>210</v>
      </c>
      <c r="E18">
        <v>45.52</v>
      </c>
      <c r="F18">
        <f t="shared" si="1"/>
        <v>26.120000000000005</v>
      </c>
      <c r="G18">
        <v>26.68</v>
      </c>
    </row>
    <row r="19" spans="1:7" x14ac:dyDescent="0.2">
      <c r="A19">
        <v>1.8</v>
      </c>
      <c r="B19">
        <v>105</v>
      </c>
      <c r="C19">
        <v>80</v>
      </c>
      <c r="D19">
        <f t="shared" si="0"/>
        <v>185</v>
      </c>
      <c r="E19">
        <v>45.68</v>
      </c>
      <c r="F19">
        <f t="shared" si="1"/>
        <v>26.28</v>
      </c>
      <c r="G19">
        <v>26.88</v>
      </c>
    </row>
    <row r="20" spans="1:7" x14ac:dyDescent="0.2">
      <c r="A20">
        <v>1.9</v>
      </c>
      <c r="B20">
        <v>50</v>
      </c>
      <c r="C20">
        <v>60</v>
      </c>
      <c r="D20">
        <f t="shared" si="0"/>
        <v>110</v>
      </c>
      <c r="E20">
        <v>45.82</v>
      </c>
      <c r="F20">
        <f t="shared" si="1"/>
        <v>26.42</v>
      </c>
      <c r="G20">
        <v>27.07</v>
      </c>
    </row>
    <row r="21" spans="1:7" x14ac:dyDescent="0.2">
      <c r="A21">
        <v>2</v>
      </c>
      <c r="B21">
        <v>30</v>
      </c>
      <c r="C21">
        <v>60</v>
      </c>
      <c r="D21">
        <f t="shared" si="0"/>
        <v>90</v>
      </c>
      <c r="E21">
        <v>45.96</v>
      </c>
      <c r="F21">
        <f t="shared" si="1"/>
        <v>26.560000000000002</v>
      </c>
      <c r="G21">
        <v>27.26</v>
      </c>
    </row>
    <row r="22" spans="1:7" x14ac:dyDescent="0.2">
      <c r="A22">
        <v>2.1</v>
      </c>
      <c r="B22">
        <v>10</v>
      </c>
      <c r="C22">
        <v>50</v>
      </c>
      <c r="D22">
        <f t="shared" si="0"/>
        <v>60</v>
      </c>
      <c r="E22">
        <v>46.09</v>
      </c>
      <c r="F22">
        <f t="shared" si="1"/>
        <v>26.690000000000005</v>
      </c>
      <c r="G22">
        <v>27.44</v>
      </c>
    </row>
    <row r="23" spans="1:7" x14ac:dyDescent="0.2">
      <c r="A23">
        <v>2.2000000000000002</v>
      </c>
      <c r="B23">
        <v>10</v>
      </c>
      <c r="C23">
        <v>50</v>
      </c>
      <c r="D23">
        <f t="shared" si="0"/>
        <v>60</v>
      </c>
      <c r="E23">
        <v>46.21</v>
      </c>
      <c r="F23">
        <f t="shared" si="1"/>
        <v>26.810000000000002</v>
      </c>
      <c r="G23">
        <v>27.61</v>
      </c>
    </row>
    <row r="24" spans="1:7" x14ac:dyDescent="0.2">
      <c r="A24">
        <v>2.2999999999999998</v>
      </c>
      <c r="B24">
        <v>5</v>
      </c>
      <c r="C24">
        <v>40</v>
      </c>
      <c r="D24">
        <f t="shared" si="0"/>
        <v>45</v>
      </c>
      <c r="E24">
        <v>46.33</v>
      </c>
      <c r="F24">
        <f t="shared" si="1"/>
        <v>26.93</v>
      </c>
      <c r="G24">
        <v>27.78</v>
      </c>
    </row>
    <row r="25" spans="1:7" x14ac:dyDescent="0.2">
      <c r="A25">
        <v>2.4</v>
      </c>
      <c r="B25">
        <v>0</v>
      </c>
      <c r="C25">
        <v>20</v>
      </c>
      <c r="D25">
        <f t="shared" si="0"/>
        <v>20</v>
      </c>
      <c r="E25">
        <v>46.44</v>
      </c>
      <c r="F25">
        <f t="shared" si="1"/>
        <v>27.04</v>
      </c>
      <c r="G25">
        <v>27.94</v>
      </c>
    </row>
    <row r="26" spans="1:7" x14ac:dyDescent="0.2">
      <c r="A26">
        <v>2.5</v>
      </c>
      <c r="B26">
        <v>0</v>
      </c>
      <c r="C26">
        <v>20</v>
      </c>
      <c r="D26">
        <f t="shared" si="0"/>
        <v>20</v>
      </c>
      <c r="E26">
        <v>46.55</v>
      </c>
      <c r="F26">
        <f t="shared" si="1"/>
        <v>27.15</v>
      </c>
      <c r="G26">
        <v>28.1</v>
      </c>
    </row>
    <row r="27" spans="1:7" x14ac:dyDescent="0.2">
      <c r="A27">
        <v>2.6</v>
      </c>
      <c r="B27">
        <v>0</v>
      </c>
      <c r="C27">
        <v>10</v>
      </c>
      <c r="D27">
        <f t="shared" si="0"/>
        <v>10</v>
      </c>
      <c r="E27">
        <v>46.65</v>
      </c>
      <c r="F27">
        <f t="shared" si="1"/>
        <v>27.25</v>
      </c>
      <c r="G27">
        <v>28.25</v>
      </c>
    </row>
    <row r="28" spans="1:7" x14ac:dyDescent="0.2">
      <c r="A28">
        <v>2.7</v>
      </c>
      <c r="B28">
        <v>0</v>
      </c>
      <c r="C28">
        <v>20</v>
      </c>
      <c r="D28">
        <f t="shared" si="0"/>
        <v>20</v>
      </c>
      <c r="E28">
        <v>46.75</v>
      </c>
      <c r="F28">
        <f t="shared" si="1"/>
        <v>27.35</v>
      </c>
      <c r="G28">
        <v>28.4</v>
      </c>
    </row>
    <row r="29" spans="1:7" x14ac:dyDescent="0.2">
      <c r="A29">
        <v>2.8</v>
      </c>
      <c r="B29">
        <v>0</v>
      </c>
      <c r="C29">
        <v>5</v>
      </c>
      <c r="D29">
        <f t="shared" si="0"/>
        <v>5</v>
      </c>
      <c r="E29">
        <v>46.85</v>
      </c>
      <c r="F29">
        <f t="shared" si="1"/>
        <v>27.450000000000003</v>
      </c>
      <c r="G29">
        <v>28.54</v>
      </c>
    </row>
    <row r="30" spans="1:7" x14ac:dyDescent="0.2">
      <c r="A30">
        <v>2.9</v>
      </c>
      <c r="B30">
        <v>0</v>
      </c>
      <c r="C30">
        <v>5</v>
      </c>
      <c r="D30">
        <f t="shared" si="0"/>
        <v>5</v>
      </c>
      <c r="E30">
        <v>46.94</v>
      </c>
      <c r="F30">
        <f t="shared" si="1"/>
        <v>27.54</v>
      </c>
      <c r="G30">
        <v>28.68</v>
      </c>
    </row>
    <row r="31" spans="1:7" x14ac:dyDescent="0.2">
      <c r="A31">
        <v>3</v>
      </c>
      <c r="B31">
        <v>0</v>
      </c>
      <c r="C31">
        <v>0</v>
      </c>
      <c r="D31">
        <f t="shared" si="0"/>
        <v>0</v>
      </c>
      <c r="E31">
        <v>47.03</v>
      </c>
      <c r="F31">
        <f t="shared" si="1"/>
        <v>27.630000000000003</v>
      </c>
      <c r="G31">
        <v>28.83</v>
      </c>
    </row>
    <row r="33" spans="1:4" x14ac:dyDescent="0.2">
      <c r="A33" t="s">
        <v>4</v>
      </c>
      <c r="B33">
        <f>SUM(B2:B32)</f>
        <v>3915</v>
      </c>
      <c r="C33">
        <f>SUM(C2:C32)</f>
        <v>1468</v>
      </c>
      <c r="D33">
        <f>SUM(D2:D32)</f>
        <v>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 Suzuki</dc:creator>
  <cp:lastModifiedBy>Nao Suzuki</cp:lastModifiedBy>
  <dcterms:created xsi:type="dcterms:W3CDTF">2025-03-16T20:03:32Z</dcterms:created>
  <dcterms:modified xsi:type="dcterms:W3CDTF">2025-03-16T23:57:15Z</dcterms:modified>
</cp:coreProperties>
</file>